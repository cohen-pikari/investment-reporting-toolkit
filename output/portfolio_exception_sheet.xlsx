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Excep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97D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0" borderId="2" pivotButton="0" quotePrefix="0" xfId="0"/>
    <xf numFmtId="0" fontId="0" fillId="0" borderId="2" pivotButton="0" quotePrefix="0" xfId="0"/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18" customWidth="1" min="3" max="3"/>
    <col width="19" customWidth="1" min="4" max="4"/>
    <col width="19" customWidth="1" min="5" max="5"/>
    <col width="29" customWidth="1" min="6" max="6"/>
  </cols>
  <sheetData>
    <row r="1">
      <c r="A1" s="1" t="inlineStr">
        <is>
          <t>INVESTMENT OPERATIONS DAILY MIS BREAKSHEET</t>
        </is>
      </c>
    </row>
    <row r="2">
      <c r="A2" s="2" t="inlineStr">
        <is>
          <t>Report Date: 2026-07-21 | Source: SQL Database Layer</t>
        </is>
      </c>
    </row>
    <row r="3"/>
    <row r="4">
      <c r="A4" s="3" t="inlineStr">
        <is>
          <t>Ticker</t>
        </is>
      </c>
      <c r="B4" s="3" t="inlineStr">
        <is>
          <t>Security Name</t>
        </is>
      </c>
      <c r="C4" s="3" t="inlineStr">
        <is>
          <t>Internal MV ($)</t>
        </is>
      </c>
      <c r="D4" s="3" t="inlineStr">
        <is>
          <t>Custodian MV ($)</t>
        </is>
      </c>
      <c r="E4" s="3" t="inlineStr">
        <is>
          <t>Net Variance ($)</t>
        </is>
      </c>
      <c r="F4" s="3" t="inlineStr">
        <is>
          <t>Exception Type</t>
        </is>
      </c>
    </row>
    <row r="5">
      <c r="A5" s="4" t="inlineStr">
        <is>
          <t>AAPL</t>
        </is>
      </c>
      <c r="B5" s="5" t="inlineStr">
        <is>
          <t>Apple Inc.</t>
        </is>
      </c>
      <c r="C5" s="6" t="n">
        <v>180000</v>
      </c>
      <c r="D5" s="6" t="n">
        <v>326590</v>
      </c>
      <c r="E5" s="7" t="n">
        <v>146590</v>
      </c>
      <c r="F5" s="8" t="inlineStr">
        <is>
          <t>PRICING_BREAK</t>
        </is>
      </c>
    </row>
    <row r="6">
      <c r="A6" s="4" t="inlineStr">
        <is>
          <t>BHP.AX</t>
        </is>
      </c>
      <c r="B6" s="5" t="inlineStr">
        <is>
          <t>BHP Group Limited</t>
        </is>
      </c>
      <c r="C6" s="6" t="n">
        <v>212500</v>
      </c>
      <c r="D6" s="6" t="n">
        <v>290058</v>
      </c>
      <c r="E6" s="7" t="n">
        <v>77558</v>
      </c>
      <c r="F6" s="8" t="inlineStr">
        <is>
          <t>PRICING_BREAK</t>
        </is>
      </c>
    </row>
    <row r="7">
      <c r="A7" s="4" t="inlineStr">
        <is>
          <t>ALT-VC-PRV</t>
        </is>
      </c>
      <c r="B7" s="5" t="inlineStr">
        <is>
          <t>Collins St Private Equity Fund</t>
        </is>
      </c>
      <c r="C7" s="6" t="n">
        <v>500000</v>
      </c>
      <c r="D7" s="6" t="n">
        <v>475000</v>
      </c>
      <c r="E7" s="9" t="n">
        <v>-25000</v>
      </c>
      <c r="F7" s="10" t="inlineStr">
        <is>
          <t>ALTERNATIVES_VALUATION_LAG</t>
        </is>
      </c>
    </row>
    <row r="8">
      <c r="A8" s="11" t="inlineStr">
        <is>
          <t>Total Exposure</t>
        </is>
      </c>
      <c r="B8" s="12" t="n"/>
      <c r="C8" s="12" t="n"/>
      <c r="D8" s="12" t="n"/>
      <c r="E8" s="13">
        <f>SUM(E5:E7)</f>
        <v/>
      </c>
      <c r="F8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2026-07-21T07:07:45Z</dcterms:created>
  <dcterms:modified xsi:type="dcterms:W3CDTF">2026-07-21T07:07:45Z</dcterms:modified>
</cp:coreProperties>
</file>